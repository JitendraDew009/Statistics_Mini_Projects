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ll Coding Stuff\Statistics\"/>
    </mc:Choice>
  </mc:AlternateContent>
  <xr:revisionPtr revIDLastSave="0" documentId="13_ncr:1_{54E11F89-795F-49F8-92F5-8C04C8456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Average_Height">Sheet1!$C$14</definedName>
    <definedName name="mad">Sheet1!$F$15</definedName>
    <definedName name="Median_Height">Sheet1!$F$14</definedName>
    <definedName name="STD">Sheet1!$C$15</definedName>
    <definedName name="STD_dev">Sheet1!$C$15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C15" i="1"/>
  <c r="C14" i="1"/>
  <c r="F3" i="1" l="1"/>
  <c r="F4" i="1"/>
  <c r="F6" i="1"/>
  <c r="F7" i="1"/>
  <c r="F8" i="1"/>
  <c r="F2" i="1"/>
  <c r="F5" i="1"/>
  <c r="B7" i="1"/>
  <c r="C7" i="1" s="1"/>
  <c r="B4" i="1"/>
  <c r="C4" i="1" s="1"/>
  <c r="B5" i="1"/>
  <c r="C5" i="1" s="1"/>
  <c r="B6" i="1"/>
  <c r="C6" i="1" s="1"/>
  <c r="B3" i="1"/>
  <c r="C3" i="1" s="1"/>
  <c r="B8" i="1"/>
  <c r="C8" i="1" s="1"/>
  <c r="B2" i="1"/>
  <c r="C2" i="1" s="1"/>
  <c r="F15" i="1" l="1"/>
  <c r="G6" i="1" l="1"/>
  <c r="H6" i="1" s="1"/>
  <c r="G4" i="1"/>
  <c r="H4" i="1" s="1"/>
  <c r="G3" i="1"/>
  <c r="H3" i="1" s="1"/>
  <c r="G5" i="1"/>
  <c r="H5" i="1" s="1"/>
  <c r="G7" i="1"/>
  <c r="H7" i="1" s="1"/>
  <c r="G2" i="1"/>
  <c r="H2" i="1" s="1"/>
  <c r="G8" i="1"/>
  <c r="H8" i="1" s="1"/>
</calcChain>
</file>

<file path=xl/sharedStrings.xml><?xml version="1.0" encoding="utf-8"?>
<sst xmlns="http://schemas.openxmlformats.org/spreadsheetml/2006/main" count="12" uniqueCount="11">
  <si>
    <t>Height</t>
  </si>
  <si>
    <t>Z-Score</t>
  </si>
  <si>
    <t>Z Score &gt; 3</t>
  </si>
  <si>
    <t>Average</t>
  </si>
  <si>
    <t>Standard Deviation</t>
  </si>
  <si>
    <t>Median</t>
  </si>
  <si>
    <t>Height - Median Height</t>
  </si>
  <si>
    <t>Mod Z Score</t>
  </si>
  <si>
    <t>MAD</t>
  </si>
  <si>
    <t>Mod Z Score &gt; 3.5</t>
  </si>
  <si>
    <t>Here can't figure out the outlier, so that's why we need a modified 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</si>
</sst>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</cellStyleXfs>
  <cellXfs count="6">
    <xf numFmtId="0" fontId="0" fillId="0" borderId="0" xfId="0"/>
    <xf numFmtId="0" fontId="2" fillId="3" borderId="0" xfId="2"/>
    <xf numFmtId="0" fontId="4" fillId="4" borderId="1" xfId="4"/>
    <xf numFmtId="0" fontId="3" fillId="4" borderId="2" xfId="3"/>
    <xf numFmtId="0" fontId="5" fillId="0" borderId="0" xfId="0" applyFont="1" applyAlignment="1">
      <alignment horizontal="left" vertical="center"/>
    </xf>
    <xf numFmtId="0" fontId="1" fillId="2" borderId="0" xfId="1"/>
  </cellXfs>
  <cellStyles count="5">
    <cellStyle name="Bad" xfId="1" builtinId="27"/>
    <cellStyle name="Calculation" xfId="4" builtinId="22"/>
    <cellStyle name="Neutral" xfId="2" builtinId="28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84" workbookViewId="0">
      <selection activeCell="G7" sqref="G7"/>
    </sheetView>
  </sheetViews>
  <sheetFormatPr defaultRowHeight="14.4" x14ac:dyDescent="0.3"/>
  <cols>
    <col min="2" max="2" width="19.44140625" customWidth="1"/>
    <col min="3" max="3" width="17.5546875" customWidth="1"/>
    <col min="4" max="4" width="63.109375" bestFit="1" customWidth="1"/>
    <col min="6" max="6" width="19.77734375" bestFit="1" customWidth="1"/>
    <col min="7" max="7" width="11.109375" bestFit="1" customWidth="1"/>
    <col min="8" max="8" width="15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6</v>
      </c>
      <c r="G1" s="1" t="s">
        <v>7</v>
      </c>
      <c r="H1" s="1" t="s">
        <v>9</v>
      </c>
    </row>
    <row r="2" spans="1:8" x14ac:dyDescent="0.3">
      <c r="A2">
        <v>5.2</v>
      </c>
      <c r="B2">
        <f xml:space="preserve"> (A2 -Average_Height)/STD</f>
        <v>-0.56709987626241831</v>
      </c>
      <c r="C2" t="b">
        <f>B2&gt;3</f>
        <v>0</v>
      </c>
      <c r="E2">
        <v>5.2</v>
      </c>
      <c r="F2">
        <f>ABS(E2 - Median_Height)</f>
        <v>0.29999999999999982</v>
      </c>
      <c r="G2">
        <f>0.6745*(E2 - Median_Height)/mad</f>
        <v>-0.28907142857142831</v>
      </c>
      <c r="H2" t="b">
        <f>G2&gt;3.5</f>
        <v>0</v>
      </c>
    </row>
    <row r="3" spans="1:8" x14ac:dyDescent="0.3">
      <c r="A3">
        <v>4.9000000000000004</v>
      </c>
      <c r="B3">
        <f xml:space="preserve"> (A3 -Average_Height)/STD</f>
        <v>-0.7396954907770672</v>
      </c>
      <c r="C3" t="b">
        <f t="shared" ref="C3:C8" si="0">B3&gt;3</f>
        <v>0</v>
      </c>
      <c r="E3">
        <v>4.9000000000000004</v>
      </c>
      <c r="F3">
        <f>ABS(E3 - Median_Height)</f>
        <v>0.59999999999999964</v>
      </c>
      <c r="G3">
        <f>0.6745*(E3 - Median_Height)/mad</f>
        <v>-0.57814285714285663</v>
      </c>
      <c r="H3" t="b">
        <f t="shared" ref="H3:H8" si="1">G3&gt;3.5</f>
        <v>0</v>
      </c>
    </row>
    <row r="4" spans="1:8" x14ac:dyDescent="0.3">
      <c r="A4">
        <v>4.5</v>
      </c>
      <c r="B4">
        <f xml:space="preserve"> (A4 -Average_Height)/STD</f>
        <v>-0.96982297679659946</v>
      </c>
      <c r="C4" t="b">
        <f t="shared" si="0"/>
        <v>0</v>
      </c>
      <c r="E4">
        <v>4.5</v>
      </c>
      <c r="F4">
        <f>ABS(E4 - Median_Height)</f>
        <v>1</v>
      </c>
      <c r="G4">
        <f>0.6745*(E4 - Median_Height)/mad</f>
        <v>-0.9635714285714283</v>
      </c>
      <c r="H4" t="b">
        <f t="shared" si="1"/>
        <v>0</v>
      </c>
    </row>
    <row r="5" spans="1:8" x14ac:dyDescent="0.3">
      <c r="A5">
        <v>5.5</v>
      </c>
      <c r="B5">
        <f xml:space="preserve"> (A5 -Average_Height)/STD</f>
        <v>-0.39450426174776937</v>
      </c>
      <c r="C5" t="b">
        <f t="shared" si="0"/>
        <v>0</v>
      </c>
      <c r="E5">
        <v>5.5</v>
      </c>
      <c r="F5">
        <f>ABS(E5 - Median_Height)</f>
        <v>0</v>
      </c>
      <c r="G5">
        <f>0.6745*(E5 - Median_Height)/mad</f>
        <v>0</v>
      </c>
      <c r="H5" t="b">
        <f t="shared" si="1"/>
        <v>0</v>
      </c>
    </row>
    <row r="6" spans="1:8" x14ac:dyDescent="0.3">
      <c r="A6">
        <v>7</v>
      </c>
      <c r="B6">
        <f xml:space="preserve"> (A6 -Average_Height)/STD</f>
        <v>0.46847381082547584</v>
      </c>
      <c r="C6" t="b">
        <f t="shared" si="0"/>
        <v>0</v>
      </c>
      <c r="E6">
        <v>7</v>
      </c>
      <c r="F6">
        <f>ABS(E6 - Median_Height)</f>
        <v>1.5</v>
      </c>
      <c r="G6">
        <f>0.6745*(E6 - Median_Height)/mad</f>
        <v>1.4453571428571423</v>
      </c>
      <c r="H6" t="b">
        <f t="shared" si="1"/>
        <v>0</v>
      </c>
    </row>
    <row r="7" spans="1:8" ht="69" customHeight="1" x14ac:dyDescent="0.3">
      <c r="A7" s="5">
        <v>10</v>
      </c>
      <c r="B7" s="5">
        <f xml:space="preserve"> (A7 -Average_Height)/STD</f>
        <v>2.194429955971966</v>
      </c>
      <c r="C7" s="1" t="b">
        <f t="shared" si="0"/>
        <v>0</v>
      </c>
      <c r="D7" s="4" t="s">
        <v>10</v>
      </c>
      <c r="E7" s="5">
        <v>10</v>
      </c>
      <c r="F7" s="5">
        <f>ABS(E7 - Median_Height)</f>
        <v>4.5</v>
      </c>
      <c r="G7" s="5">
        <f>0.6745*(E7 - Median_Height)/mad</f>
        <v>4.3360714285714277</v>
      </c>
      <c r="H7" s="5" t="b">
        <f t="shared" si="1"/>
        <v>1</v>
      </c>
    </row>
    <row r="8" spans="1:8" x14ac:dyDescent="0.3">
      <c r="A8">
        <v>6.2</v>
      </c>
      <c r="B8">
        <f xml:space="preserve"> (A8 -Average_Height)/STD</f>
        <v>8.2188387864118289E-3</v>
      </c>
      <c r="C8" t="b">
        <f t="shared" si="0"/>
        <v>0</v>
      </c>
      <c r="E8">
        <v>6.2</v>
      </c>
      <c r="F8">
        <f>ABS(E8 - Median_Height)</f>
        <v>0.70000000000000018</v>
      </c>
      <c r="G8">
        <f>0.6745*(E8 - Median_Height)/mad</f>
        <v>0.67449999999999999</v>
      </c>
      <c r="H8" t="b">
        <f t="shared" si="1"/>
        <v>0</v>
      </c>
    </row>
    <row r="14" spans="1:8" x14ac:dyDescent="0.3">
      <c r="B14" s="2" t="s">
        <v>3</v>
      </c>
      <c r="C14" s="3">
        <f>AVERAGE(A2:A8)</f>
        <v>6.1857142857142859</v>
      </c>
      <c r="E14" s="2" t="s">
        <v>5</v>
      </c>
      <c r="F14" s="3">
        <f>MEDIAN(A2:A8)</f>
        <v>5.5</v>
      </c>
    </row>
    <row r="15" spans="1:8" x14ac:dyDescent="0.3">
      <c r="B15" s="2" t="s">
        <v>4</v>
      </c>
      <c r="C15" s="3">
        <f>_xlfn.STDEV.P(A2:A8)</f>
        <v>1.7381669913434419</v>
      </c>
      <c r="E15" s="2" t="s">
        <v>8</v>
      </c>
      <c r="F15" s="3">
        <f>MEDIAN(F2:F8)</f>
        <v>0.70000000000000018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Average_Height</vt:lpstr>
      <vt:lpstr>mad</vt:lpstr>
      <vt:lpstr>Median_Height</vt:lpstr>
      <vt:lpstr>STD</vt:lpstr>
      <vt:lpstr>STD_dev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Dewangan</dc:creator>
  <cp:lastModifiedBy>Jitendra Dewangan</cp:lastModifiedBy>
  <dcterms:created xsi:type="dcterms:W3CDTF">2015-06-05T18:17:20Z</dcterms:created>
  <dcterms:modified xsi:type="dcterms:W3CDTF">2026-05-24T10:51:33Z</dcterms:modified>
</cp:coreProperties>
</file>